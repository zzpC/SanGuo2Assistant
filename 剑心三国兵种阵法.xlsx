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<sst xmlns="http://schemas.openxmlformats.org/spreadsheetml/2006/main" count="122" uniqueCount="86">
  <si>
    <t>朴刀</t>
  </si>
  <si>
    <t>长枪</t>
  </si>
  <si>
    <t>大刀</t>
  </si>
  <si>
    <t>弓箭</t>
  </si>
  <si>
    <t>链锤</t>
  </si>
  <si>
    <t>飞刀</t>
  </si>
  <si>
    <t>武斗</t>
  </si>
  <si>
    <t>蛮族</t>
  </si>
  <si>
    <t>铁锤</t>
  </si>
  <si>
    <t>藤甲</t>
  </si>
  <si>
    <t>黄巾</t>
  </si>
  <si>
    <t>弩兵</t>
  </si>
  <si>
    <t>女兵</t>
  </si>
  <si>
    <t>虎豹</t>
  </si>
  <si>
    <t>陷阵</t>
  </si>
  <si>
    <t>白马</t>
  </si>
  <si>
    <t>无当</t>
  </si>
  <si>
    <t>西凉</t>
  </si>
  <si>
    <t>白毦</t>
  </si>
  <si>
    <t>金甲</t>
  </si>
  <si>
    <t>解烦</t>
  </si>
  <si>
    <t>猛兽</t>
  </si>
  <si>
    <t>战车</t>
  </si>
  <si>
    <t>尸兵</t>
  </si>
  <si>
    <t>刺客</t>
  </si>
  <si>
    <t>巫女</t>
  </si>
  <si>
    <t>定位</t>
  </si>
  <si>
    <t>步兵射程</t>
  </si>
  <si>
    <t>骑兵射程</t>
  </si>
  <si>
    <t>步兵远程攻速</t>
  </si>
  <si>
    <t>步兵近战攻速</t>
  </si>
  <si>
    <t>骑兵远程攻速</t>
  </si>
  <si>
    <t>骑兵近战攻速</t>
  </si>
  <si>
    <t>克度总和</t>
  </si>
  <si>
    <t>Soldier1 =</t>
  </si>
  <si>
    <t>Soldier2 =</t>
  </si>
  <si>
    <t>Soldier3 =</t>
  </si>
  <si>
    <t>Soldier4 =</t>
  </si>
  <si>
    <t>Soldier5 =</t>
  </si>
  <si>
    <t>Soldier6 =</t>
  </si>
  <si>
    <t>Soldier7 =</t>
  </si>
  <si>
    <t>Soldier8 =</t>
  </si>
  <si>
    <t>Soldier9 =</t>
  </si>
  <si>
    <t>Soldier10 =</t>
  </si>
  <si>
    <t>被火系武将技打了会额外增伤</t>
  </si>
  <si>
    <t>Soldier11 =</t>
  </si>
  <si>
    <t>Soldier12 =</t>
  </si>
  <si>
    <t>Soldier13 =</t>
  </si>
  <si>
    <t>Soldier14 =</t>
  </si>
  <si>
    <t>弩兵上位</t>
  </si>
  <si>
    <t>Soldier15 =</t>
  </si>
  <si>
    <t>朴刀上位</t>
  </si>
  <si>
    <t>Soldier16 =</t>
  </si>
  <si>
    <t>弓箭上位</t>
  </si>
  <si>
    <t>Soldier17 =</t>
  </si>
  <si>
    <t>飞刀上位，略强刺客</t>
  </si>
  <si>
    <t>Soldier18 =</t>
  </si>
  <si>
    <t>大刀上位</t>
  </si>
  <si>
    <t>Soldier19 =</t>
  </si>
  <si>
    <t>长枪上位</t>
  </si>
  <si>
    <t>Soldier20 =</t>
  </si>
  <si>
    <t>万金油近战兵</t>
  </si>
  <si>
    <t>Soldier21 =</t>
  </si>
  <si>
    <t>Soldier22 =</t>
  </si>
  <si>
    <t>混合克制，近战版链锤</t>
  </si>
  <si>
    <t>Soldier23 =</t>
  </si>
  <si>
    <t>混合克制，类似链锤</t>
  </si>
  <si>
    <t>Soldier24 =</t>
  </si>
  <si>
    <t>混合克制，近战版链锤变体</t>
  </si>
  <si>
    <t>Soldier25 =</t>
  </si>
  <si>
    <t>飞刀上位</t>
  </si>
  <si>
    <t>Soldier26 =</t>
  </si>
  <si>
    <t>万金油远程兵</t>
  </si>
  <si>
    <t>此表请横向查阅，举例：朴刀对长枪-43，说明长枪克朴刀43点。</t>
  </si>
  <si>
    <t>注：攻速数字越大，攻速越慢。骑兵即高级兵的意思。</t>
  </si>
  <si>
    <t>方</t>
  </si>
  <si>
    <t>圆</t>
  </si>
  <si>
    <t>锥</t>
  </si>
  <si>
    <t>雁</t>
  </si>
  <si>
    <t>玄</t>
  </si>
  <si>
    <t>鱼</t>
  </si>
  <si>
    <t>钩</t>
  </si>
  <si>
    <t>冲</t>
  </si>
  <si>
    <t>箭</t>
  </si>
  <si>
    <t>剑心三国2兵种阵法克制图
（V1.4+起使用）</t>
  </si>
  <si>
    <t>全突规则：26个兵种分为三档射程，朴刀、蛮族、黄巾纯近战（1），弓箭、弩兵、白马真远程（3），其他都是半远程（2），1见到23都会全突，2见到3会全突。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</si>
</sst>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36"/>
      <color theme="1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5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5" fillId="0" borderId="0">
      <alignment vertical="center"/>
    </xf>
    <xf numFmtId="0" fontId="16" fillId="4" borderId="17">
      <alignment vertical="center"/>
    </xf>
    <xf numFmtId="0" fontId="17" fillId="5" borderId="18">
      <alignment vertical="center"/>
    </xf>
    <xf numFmtId="0" fontId="18" fillId="5" borderId="17">
      <alignment vertical="center"/>
    </xf>
    <xf numFmtId="0" fontId="19" fillId="6" borderId="19">
      <alignment vertical="center"/>
    </xf>
    <xf numFmtId="0" fontId="20" fillId="0" borderId="20">
      <alignment vertical="center"/>
    </xf>
    <xf numFmtId="0" fontId="21" fillId="0" borderId="21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5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"/>
  <sheetViews>
    <sheetView tabSelected="1" workbookViewId="0">
      <selection activeCell="A1" sqref="$A1:$XFD1048576"/>
    </sheetView>
  </sheetViews>
  <sheetFormatPr defaultColWidth="9.81818181818182" defaultRowHeight="14"/>
  <cols>
    <col min="1" max="1" width="3.45454545454545" style="1" customWidth="1"/>
    <col min="2" max="2" width="4.90909090909091" style="1" customWidth="1"/>
    <col min="3" max="3" width="12.9727272727273" style="1" hidden="1" customWidth="1"/>
    <col min="4" max="29" width="4.90909090909091" style="1" customWidth="1"/>
    <col min="30" max="30" width="28.4818181818182" style="1" customWidth="1"/>
    <col min="31" max="32" width="9.81818181818182" style="1"/>
    <col min="33" max="36" width="13.4545454545455" style="1" customWidth="1"/>
    <col min="37" max="37" width="10.5454545454545" style="1" customWidth="1"/>
    <col min="38" max="16384" width="9.81818181818182" style="1"/>
  </cols>
  <sheetData>
    <row r="1" s="1" customFormat="1" ht="14.5" spans="1:37">
      <c r="A1" s="2"/>
      <c r="B1" s="3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4" t="s">
        <v>25</v>
      </c>
      <c r="AD1" s="4" t="s">
        <v>26</v>
      </c>
      <c r="AE1" s="5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</row>
    <row r="2" s="1" customFormat="1" ht="14.5" spans="1:37">
      <c r="A2" s="2">
        <v>1</v>
      </c>
      <c r="B2" s="3" t="s">
        <v>0</v>
      </c>
      <c r="C2" s="3" t="s">
        <v>34</v>
      </c>
      <c r="D2" s="7">
        <v>0</v>
      </c>
      <c r="E2" s="8">
        <f>0-D3</f>
        <v>-43</v>
      </c>
      <c r="F2" s="8">
        <f>0-D4</f>
        <v>-52</v>
      </c>
      <c r="G2" s="8">
        <f>0-D5</f>
        <v>61</v>
      </c>
      <c r="H2" s="8">
        <f>0-D6</f>
        <v>-42</v>
      </c>
      <c r="I2" s="8">
        <f>0-D7</f>
        <v>63</v>
      </c>
      <c r="J2" s="8">
        <f>0-D8</f>
        <v>21</v>
      </c>
      <c r="K2" s="8">
        <f>0-D9</f>
        <v>-44</v>
      </c>
      <c r="L2" s="8">
        <f>0-D10</f>
        <v>-54</v>
      </c>
      <c r="M2" s="8">
        <f>0-D11</f>
        <v>-31</v>
      </c>
      <c r="N2" s="8">
        <f>0-D12</f>
        <v>23</v>
      </c>
      <c r="O2" s="8">
        <f>0-D13</f>
        <v>-8</v>
      </c>
      <c r="P2" s="8">
        <f>0-D14</f>
        <v>-10</v>
      </c>
      <c r="Q2" s="8">
        <f>0-D15</f>
        <v>10</v>
      </c>
      <c r="R2" s="8">
        <f>0-D16</f>
        <v>-5</v>
      </c>
      <c r="S2" s="8">
        <f>0-D17</f>
        <v>41</v>
      </c>
      <c r="T2" s="8">
        <f>0-D18</f>
        <v>57</v>
      </c>
      <c r="U2" s="8">
        <f>0-D19</f>
        <v>-50</v>
      </c>
      <c r="V2" s="8">
        <f>0-D20</f>
        <v>-53</v>
      </c>
      <c r="W2" s="8">
        <f>0-D21</f>
        <v>-10</v>
      </c>
      <c r="X2" s="8">
        <f>0-D22</f>
        <v>-12</v>
      </c>
      <c r="Y2" s="8">
        <f>0-D23</f>
        <v>-46</v>
      </c>
      <c r="Z2" s="8">
        <f>0-D24</f>
        <v>-35</v>
      </c>
      <c r="AA2" s="8">
        <f>0-D25</f>
        <v>-49</v>
      </c>
      <c r="AB2" s="8">
        <f>0-D26</f>
        <v>60</v>
      </c>
      <c r="AC2" s="9">
        <f>0-D27</f>
        <v>-15</v>
      </c>
      <c r="AD2" s="9"/>
      <c r="AE2" s="5">
        <v>1</v>
      </c>
      <c r="AF2" s="6">
        <v>1</v>
      </c>
      <c r="AG2" s="6">
        <v>2</v>
      </c>
      <c r="AH2" s="6">
        <v>1</v>
      </c>
      <c r="AI2" s="6">
        <v>2</v>
      </c>
      <c r="AJ2" s="6">
        <v>1</v>
      </c>
      <c r="AK2" s="6">
        <f t="shared" ref="AK2:AK27" si="0">SUM(D2:AC2)</f>
        <v>-223</v>
      </c>
    </row>
    <row r="3" s="1" customFormat="1" ht="14.5" spans="1:37">
      <c r="A3" s="2">
        <v>2</v>
      </c>
      <c r="B3" s="3" t="s">
        <v>1</v>
      </c>
      <c r="C3" s="3" t="s">
        <v>35</v>
      </c>
      <c r="D3" s="8">
        <v>43</v>
      </c>
      <c r="E3" s="7">
        <v>0</v>
      </c>
      <c r="F3" s="8">
        <f>0-E4</f>
        <v>-12</v>
      </c>
      <c r="G3" s="8">
        <f>0-E5</f>
        <v>-44</v>
      </c>
      <c r="H3" s="8">
        <f>0-E6</f>
        <v>-21</v>
      </c>
      <c r="I3" s="8">
        <f>0-E7</f>
        <v>-31</v>
      </c>
      <c r="J3" s="8">
        <f>0-E8</f>
        <v>50</v>
      </c>
      <c r="K3" s="8">
        <f>0-E9</f>
        <v>41</v>
      </c>
      <c r="L3" s="8">
        <f>0-E10</f>
        <v>-48</v>
      </c>
      <c r="M3" s="8">
        <f>0-E11</f>
        <v>-34</v>
      </c>
      <c r="N3" s="8">
        <f>0-E12</f>
        <v>24</v>
      </c>
      <c r="O3" s="8">
        <f>0-E13</f>
        <v>-35</v>
      </c>
      <c r="P3" s="8">
        <f>0-E14</f>
        <v>39</v>
      </c>
      <c r="Q3" s="8">
        <f>0-E15</f>
        <v>-30</v>
      </c>
      <c r="R3" s="8">
        <f>0-E16</f>
        <v>38</v>
      </c>
      <c r="S3" s="8">
        <f>0-E17</f>
        <v>-49</v>
      </c>
      <c r="T3" s="8">
        <f>0-E18</f>
        <v>-36</v>
      </c>
      <c r="U3" s="8">
        <f>0-E19</f>
        <v>-26</v>
      </c>
      <c r="V3" s="8">
        <f>0-E20</f>
        <v>-15</v>
      </c>
      <c r="W3" s="8">
        <f>0-E21</f>
        <v>-10</v>
      </c>
      <c r="X3" s="8">
        <f>0-E22</f>
        <v>19</v>
      </c>
      <c r="Y3" s="8">
        <f>0-E23</f>
        <v>25</v>
      </c>
      <c r="Z3" s="8">
        <f>0-E24</f>
        <v>-31</v>
      </c>
      <c r="AA3" s="8">
        <f>0-E25</f>
        <v>-38</v>
      </c>
      <c r="AB3" s="8">
        <f>0-E26</f>
        <v>-36</v>
      </c>
      <c r="AC3" s="9">
        <f>0-E27</f>
        <v>-15</v>
      </c>
      <c r="AD3" s="10"/>
      <c r="AE3" s="5">
        <v>1</v>
      </c>
      <c r="AF3" s="6">
        <v>5</v>
      </c>
      <c r="AG3" s="6">
        <v>2</v>
      </c>
      <c r="AH3" s="6">
        <v>1</v>
      </c>
      <c r="AI3" s="6">
        <v>2</v>
      </c>
      <c r="AJ3" s="6">
        <v>1</v>
      </c>
      <c r="AK3" s="6">
        <f t="shared" si="0"/>
        <v>-232</v>
      </c>
    </row>
    <row r="4" s="1" customFormat="1" ht="14.5" spans="1:37">
      <c r="A4" s="2">
        <v>3</v>
      </c>
      <c r="B4" s="3" t="s">
        <v>2</v>
      </c>
      <c r="C4" s="3" t="s">
        <v>36</v>
      </c>
      <c r="D4" s="8">
        <v>52</v>
      </c>
      <c r="E4" s="8">
        <v>12</v>
      </c>
      <c r="F4" s="7">
        <v>0</v>
      </c>
      <c r="G4" s="3">
        <f>0-F5</f>
        <v>-47</v>
      </c>
      <c r="H4" s="3">
        <f>0-F6</f>
        <v>52</v>
      </c>
      <c r="I4" s="3">
        <f>0-F7</f>
        <v>-30</v>
      </c>
      <c r="J4" s="3">
        <f>0-F8</f>
        <v>56</v>
      </c>
      <c r="K4" s="3">
        <f>0-F9</f>
        <v>36</v>
      </c>
      <c r="L4" s="3">
        <f>0-F10</f>
        <v>-51</v>
      </c>
      <c r="M4" s="3">
        <f>0-F11</f>
        <v>-40</v>
      </c>
      <c r="N4" s="3">
        <f>0-F12</f>
        <v>38</v>
      </c>
      <c r="O4" s="3">
        <f>0-F13</f>
        <v>-28</v>
      </c>
      <c r="P4" s="8">
        <f>0-F14</f>
        <v>-10</v>
      </c>
      <c r="Q4" s="8">
        <f>0-F15</f>
        <v>-32</v>
      </c>
      <c r="R4" s="8">
        <f>0-F16</f>
        <v>47</v>
      </c>
      <c r="S4" s="8">
        <f>0-F17</f>
        <v>-52</v>
      </c>
      <c r="T4" s="3">
        <f>0-F18</f>
        <v>-35</v>
      </c>
      <c r="U4" s="8">
        <f>0-F19</f>
        <v>-23</v>
      </c>
      <c r="V4" s="8">
        <f>0-F20</f>
        <v>11</v>
      </c>
      <c r="W4" s="8">
        <f>0-F21</f>
        <v>-10</v>
      </c>
      <c r="X4" s="8">
        <f>0-F22</f>
        <v>33</v>
      </c>
      <c r="Y4" s="8">
        <f>0-F23</f>
        <v>31</v>
      </c>
      <c r="Z4" s="8">
        <f>0-F24</f>
        <v>42</v>
      </c>
      <c r="AA4" s="3">
        <f>0-F25</f>
        <v>-41</v>
      </c>
      <c r="AB4" s="8">
        <f>0-F26</f>
        <v>-35</v>
      </c>
      <c r="AC4" s="9">
        <f>0-F27</f>
        <v>-15</v>
      </c>
      <c r="AD4" s="10"/>
      <c r="AE4" s="5">
        <v>5</v>
      </c>
      <c r="AF4" s="6">
        <v>1</v>
      </c>
      <c r="AG4" s="6">
        <v>2</v>
      </c>
      <c r="AH4" s="6">
        <v>1</v>
      </c>
      <c r="AI4" s="6">
        <v>2</v>
      </c>
      <c r="AJ4" s="6">
        <v>1</v>
      </c>
      <c r="AK4" s="6">
        <f t="shared" si="0"/>
        <v>-39</v>
      </c>
    </row>
    <row r="5" s="1" customFormat="1" ht="14.5" spans="1:37">
      <c r="A5" s="2">
        <v>4</v>
      </c>
      <c r="B5" s="3" t="s">
        <v>3</v>
      </c>
      <c r="C5" s="3" t="s">
        <v>37</v>
      </c>
      <c r="D5" s="8">
        <v>-61</v>
      </c>
      <c r="E5" s="8">
        <v>44</v>
      </c>
      <c r="F5" s="8">
        <v>47</v>
      </c>
      <c r="G5" s="11">
        <v>0</v>
      </c>
      <c r="H5" s="3">
        <f>0-G6</f>
        <v>41</v>
      </c>
      <c r="I5" s="3">
        <f>0-G7</f>
        <v>8</v>
      </c>
      <c r="J5" s="3">
        <f>0-G8</f>
        <v>-66</v>
      </c>
      <c r="K5" s="3">
        <f>0-G9</f>
        <v>-62</v>
      </c>
      <c r="L5" s="3">
        <f>0-G10</f>
        <v>45</v>
      </c>
      <c r="M5" s="3">
        <f>0-G11</f>
        <v>-66</v>
      </c>
      <c r="N5" s="3">
        <f>0-G12</f>
        <v>-18</v>
      </c>
      <c r="O5" s="3">
        <f>0-G13</f>
        <v>25</v>
      </c>
      <c r="P5" s="8">
        <f>0-G14</f>
        <v>29</v>
      </c>
      <c r="Q5" s="8">
        <f>0-G15</f>
        <v>15</v>
      </c>
      <c r="R5" s="8">
        <f>0-G16</f>
        <v>-69</v>
      </c>
      <c r="S5" s="8">
        <f>0-G17</f>
        <v>-10</v>
      </c>
      <c r="T5" s="3">
        <f>0-G18</f>
        <v>3</v>
      </c>
      <c r="U5" s="8">
        <f>0-G19</f>
        <v>24</v>
      </c>
      <c r="V5" s="8">
        <f>0-G20</f>
        <v>29</v>
      </c>
      <c r="W5" s="8">
        <f>0-G21</f>
        <v>-20</v>
      </c>
      <c r="X5" s="8">
        <f>0-G22</f>
        <v>-59</v>
      </c>
      <c r="Y5" s="8">
        <f>0-G23</f>
        <v>-69</v>
      </c>
      <c r="Z5" s="8">
        <f>0-G24</f>
        <v>-31</v>
      </c>
      <c r="AA5" s="3">
        <f>0-G25</f>
        <v>-20</v>
      </c>
      <c r="AB5" s="8">
        <f>0-G26</f>
        <v>38</v>
      </c>
      <c r="AC5" s="9">
        <f>0-G27</f>
        <v>15</v>
      </c>
      <c r="AD5" s="10"/>
      <c r="AE5" s="5">
        <v>35</v>
      </c>
      <c r="AF5" s="6">
        <v>99</v>
      </c>
      <c r="AG5" s="6">
        <v>4</v>
      </c>
      <c r="AH5" s="6">
        <v>3</v>
      </c>
      <c r="AI5" s="6">
        <v>3</v>
      </c>
      <c r="AJ5" s="6">
        <v>2</v>
      </c>
      <c r="AK5" s="6">
        <f t="shared" si="0"/>
        <v>-188</v>
      </c>
    </row>
    <row r="6" s="1" customFormat="1" ht="14.5" spans="1:37">
      <c r="A6" s="12">
        <v>5</v>
      </c>
      <c r="B6" s="13" t="s">
        <v>4</v>
      </c>
      <c r="C6" s="3" t="s">
        <v>38</v>
      </c>
      <c r="D6" s="14">
        <v>42</v>
      </c>
      <c r="E6" s="14">
        <v>21</v>
      </c>
      <c r="F6" s="14">
        <v>-52</v>
      </c>
      <c r="G6" s="13">
        <v>-41</v>
      </c>
      <c r="H6" s="15">
        <v>0</v>
      </c>
      <c r="I6" s="13">
        <f>0-H7</f>
        <v>-25</v>
      </c>
      <c r="J6" s="13">
        <f>0-H8</f>
        <v>-51</v>
      </c>
      <c r="K6" s="13">
        <f>0-H9</f>
        <v>31</v>
      </c>
      <c r="L6" s="13">
        <f>0-H10</f>
        <v>-48</v>
      </c>
      <c r="M6" s="13">
        <f>0-H11</f>
        <v>45</v>
      </c>
      <c r="N6" s="13">
        <f>0-H12</f>
        <v>-4</v>
      </c>
      <c r="O6" s="13">
        <f>0-H13</f>
        <v>-37</v>
      </c>
      <c r="P6" s="14">
        <f>0-H14</f>
        <v>32</v>
      </c>
      <c r="Q6" s="14">
        <f>0-H15</f>
        <v>-27</v>
      </c>
      <c r="R6" s="14">
        <f>0-H16</f>
        <v>33</v>
      </c>
      <c r="S6" s="14">
        <f>0-H17</f>
        <v>-45</v>
      </c>
      <c r="T6" s="13">
        <f>0-H18</f>
        <v>-30</v>
      </c>
      <c r="U6" s="14">
        <f>0-H19</f>
        <v>-14</v>
      </c>
      <c r="V6" s="14">
        <f>0-H20</f>
        <v>16</v>
      </c>
      <c r="W6" s="14">
        <f>0-H21</f>
        <v>-20</v>
      </c>
      <c r="X6" s="14">
        <f>0-H22</f>
        <v>23</v>
      </c>
      <c r="Y6" s="14">
        <f>0-H23</f>
        <v>36</v>
      </c>
      <c r="Z6" s="14">
        <f>0-H24</f>
        <v>45</v>
      </c>
      <c r="AA6" s="13">
        <f>0-H25</f>
        <v>26</v>
      </c>
      <c r="AB6" s="14">
        <f>0-H26</f>
        <v>-28</v>
      </c>
      <c r="AC6" s="16">
        <f>0-H27</f>
        <v>30</v>
      </c>
      <c r="AD6" s="10"/>
      <c r="AE6" s="5">
        <v>10</v>
      </c>
      <c r="AF6" s="6">
        <v>15</v>
      </c>
      <c r="AG6" s="6">
        <v>2</v>
      </c>
      <c r="AH6" s="6">
        <v>1</v>
      </c>
      <c r="AI6" s="6">
        <v>2</v>
      </c>
      <c r="AJ6" s="6">
        <v>1</v>
      </c>
      <c r="AK6" s="6">
        <f t="shared" si="0"/>
        <v>-42</v>
      </c>
    </row>
    <row r="7" s="1" customFormat="1" ht="14.5" spans="1:37">
      <c r="A7" s="17">
        <v>6</v>
      </c>
      <c r="B7" s="18" t="s">
        <v>5</v>
      </c>
      <c r="C7" s="3" t="s">
        <v>39</v>
      </c>
      <c r="D7" s="19">
        <v>-63</v>
      </c>
      <c r="E7" s="19">
        <v>31</v>
      </c>
      <c r="F7" s="19">
        <v>30</v>
      </c>
      <c r="G7" s="18">
        <v>-8</v>
      </c>
      <c r="H7" s="18">
        <v>25</v>
      </c>
      <c r="I7" s="20">
        <v>0</v>
      </c>
      <c r="J7" s="18">
        <f>0-I8</f>
        <v>-67</v>
      </c>
      <c r="K7" s="18">
        <f>0-I9</f>
        <v>-60</v>
      </c>
      <c r="L7" s="18">
        <f>0-I10</f>
        <v>28</v>
      </c>
      <c r="M7" s="18">
        <f>0-I11</f>
        <v>-72</v>
      </c>
      <c r="N7" s="18">
        <f>0-I12</f>
        <v>-10</v>
      </c>
      <c r="O7" s="18">
        <f>0-I13</f>
        <v>40</v>
      </c>
      <c r="P7" s="19">
        <f>0-I14</f>
        <v>-10</v>
      </c>
      <c r="Q7" s="19">
        <f>0-I15</f>
        <v>40</v>
      </c>
      <c r="R7" s="19">
        <f>0-I16</f>
        <v>-70</v>
      </c>
      <c r="S7" s="19">
        <f>0-I17</f>
        <v>-13</v>
      </c>
      <c r="T7" s="18">
        <f>0-I18</f>
        <v>-5</v>
      </c>
      <c r="U7" s="19">
        <f>0-I19</f>
        <v>41</v>
      </c>
      <c r="V7" s="19">
        <f>0-I20</f>
        <v>26</v>
      </c>
      <c r="W7" s="19">
        <f>0-I21</f>
        <v>-20</v>
      </c>
      <c r="X7" s="19">
        <f>0-I22</f>
        <v>-55</v>
      </c>
      <c r="Y7" s="19">
        <f>0-I23</f>
        <v>-27</v>
      </c>
      <c r="Z7" s="19">
        <f>0-I24</f>
        <v>-25</v>
      </c>
      <c r="AA7" s="18">
        <f>0-I25</f>
        <v>23</v>
      </c>
      <c r="AB7" s="19">
        <f>0-I26</f>
        <v>30</v>
      </c>
      <c r="AC7" s="21">
        <f>0-I27</f>
        <v>15</v>
      </c>
      <c r="AD7" s="10"/>
      <c r="AE7" s="5">
        <v>15</v>
      </c>
      <c r="AF7" s="6">
        <v>25</v>
      </c>
      <c r="AG7" s="6">
        <v>2</v>
      </c>
      <c r="AH7" s="6">
        <v>1</v>
      </c>
      <c r="AI7" s="6">
        <v>2</v>
      </c>
      <c r="AJ7" s="6">
        <v>1</v>
      </c>
      <c r="AK7" s="6">
        <f t="shared" si="0"/>
        <v>-176</v>
      </c>
    </row>
    <row r="8" s="1" customFormat="1" ht="14.5" spans="1:37">
      <c r="A8" s="17">
        <v>7</v>
      </c>
      <c r="B8" s="18" t="s">
        <v>6</v>
      </c>
      <c r="C8" s="3" t="s">
        <v>40</v>
      </c>
      <c r="D8" s="19">
        <v>-21</v>
      </c>
      <c r="E8" s="19">
        <v>-50</v>
      </c>
      <c r="F8" s="19">
        <v>-56</v>
      </c>
      <c r="G8" s="18">
        <v>66</v>
      </c>
      <c r="H8" s="18">
        <v>51</v>
      </c>
      <c r="I8" s="18">
        <v>67</v>
      </c>
      <c r="J8" s="20">
        <v>0</v>
      </c>
      <c r="K8" s="18">
        <f>0-J9</f>
        <v>8</v>
      </c>
      <c r="L8" s="18">
        <f>0-J10</f>
        <v>37</v>
      </c>
      <c r="M8" s="18">
        <f>0-J11</f>
        <v>36</v>
      </c>
      <c r="N8" s="18">
        <f>0-J12</f>
        <v>3</v>
      </c>
      <c r="O8" s="18">
        <f>0-J13</f>
        <v>-13</v>
      </c>
      <c r="P8" s="19">
        <f>0-J14</f>
        <v>-10</v>
      </c>
      <c r="Q8" s="19">
        <f>0-J15</f>
        <v>23</v>
      </c>
      <c r="R8" s="19">
        <f>0-J16</f>
        <v>-26</v>
      </c>
      <c r="S8" s="19">
        <f>0-J17</f>
        <v>59</v>
      </c>
      <c r="T8" s="18">
        <f>0-J18</f>
        <v>55</v>
      </c>
      <c r="U8" s="19">
        <f>0-J19</f>
        <v>-51</v>
      </c>
      <c r="V8" s="19">
        <f>0-J20</f>
        <v>-55</v>
      </c>
      <c r="W8" s="19">
        <f>0-J21</f>
        <v>-10</v>
      </c>
      <c r="X8" s="19">
        <f>0-J22</f>
        <v>-27</v>
      </c>
      <c r="Y8" s="19">
        <f>0-J23</f>
        <v>-15</v>
      </c>
      <c r="Z8" s="19">
        <f>0-J24</f>
        <v>-16</v>
      </c>
      <c r="AA8" s="18">
        <f>0-J25</f>
        <v>36</v>
      </c>
      <c r="AB8" s="19">
        <f>0-J26</f>
        <v>10</v>
      </c>
      <c r="AC8" s="21">
        <f>0-J27</f>
        <v>41</v>
      </c>
      <c r="AD8" s="10"/>
      <c r="AE8" s="5">
        <v>1</v>
      </c>
      <c r="AF8" s="6">
        <v>5</v>
      </c>
      <c r="AG8" s="6">
        <v>2</v>
      </c>
      <c r="AH8" s="6">
        <v>1</v>
      </c>
      <c r="AI8" s="6">
        <v>2</v>
      </c>
      <c r="AJ8" s="6">
        <v>1</v>
      </c>
      <c r="AK8" s="6">
        <f t="shared" si="0"/>
        <v>142</v>
      </c>
    </row>
    <row r="9" s="1" customFormat="1" ht="14.5" spans="1:37">
      <c r="A9" s="17">
        <v>8</v>
      </c>
      <c r="B9" s="18" t="s">
        <v>7</v>
      </c>
      <c r="C9" s="3" t="s">
        <v>41</v>
      </c>
      <c r="D9" s="19">
        <v>44</v>
      </c>
      <c r="E9" s="19">
        <v>-41</v>
      </c>
      <c r="F9" s="19">
        <v>-36</v>
      </c>
      <c r="G9" s="18">
        <v>62</v>
      </c>
      <c r="H9" s="18">
        <v>-31</v>
      </c>
      <c r="I9" s="18">
        <v>60</v>
      </c>
      <c r="J9" s="18">
        <v>-8</v>
      </c>
      <c r="K9" s="20">
        <v>0</v>
      </c>
      <c r="L9" s="18">
        <f>0-K10</f>
        <v>-41</v>
      </c>
      <c r="M9" s="18">
        <f>0-K11</f>
        <v>-27</v>
      </c>
      <c r="N9" s="18">
        <f>0-K12</f>
        <v>-30</v>
      </c>
      <c r="O9" s="18">
        <f>0-K13</f>
        <v>-10</v>
      </c>
      <c r="P9" s="19">
        <f>0-K14</f>
        <v>-10</v>
      </c>
      <c r="Q9" s="19">
        <f>0-K15</f>
        <v>-20</v>
      </c>
      <c r="R9" s="19">
        <f>0-K16</f>
        <v>36</v>
      </c>
      <c r="S9" s="19">
        <f>0-K17</f>
        <v>-26</v>
      </c>
      <c r="T9" s="18">
        <f>0-K18</f>
        <v>58</v>
      </c>
      <c r="U9" s="19">
        <f>0-K19</f>
        <v>-56</v>
      </c>
      <c r="V9" s="19">
        <f>0-K20</f>
        <v>46</v>
      </c>
      <c r="W9" s="19">
        <f>0-K21</f>
        <v>-10</v>
      </c>
      <c r="X9" s="19">
        <f>0-K22</f>
        <v>-24</v>
      </c>
      <c r="Y9" s="19">
        <f>0-K23</f>
        <v>23</v>
      </c>
      <c r="Z9" s="19">
        <f>0-K24</f>
        <v>-38</v>
      </c>
      <c r="AA9" s="18">
        <f>0-K25</f>
        <v>-46</v>
      </c>
      <c r="AB9" s="19">
        <f>0-K26</f>
        <v>-17</v>
      </c>
      <c r="AC9" s="21">
        <f>0-K27</f>
        <v>-25</v>
      </c>
      <c r="AD9" s="10"/>
      <c r="AE9" s="5">
        <v>1</v>
      </c>
      <c r="AF9" s="6">
        <v>1</v>
      </c>
      <c r="AG9" s="6">
        <v>2</v>
      </c>
      <c r="AH9" s="6">
        <v>1</v>
      </c>
      <c r="AI9" s="6">
        <v>2</v>
      </c>
      <c r="AJ9" s="6">
        <v>1</v>
      </c>
      <c r="AK9" s="6">
        <f t="shared" si="0"/>
        <v>-167</v>
      </c>
    </row>
    <row r="10" s="1" customFormat="1" ht="14.5" spans="1:37">
      <c r="A10" s="17">
        <v>9</v>
      </c>
      <c r="B10" s="18" t="s">
        <v>8</v>
      </c>
      <c r="C10" s="3" t="s">
        <v>42</v>
      </c>
      <c r="D10" s="19">
        <v>54</v>
      </c>
      <c r="E10" s="19">
        <v>48</v>
      </c>
      <c r="F10" s="19">
        <v>51</v>
      </c>
      <c r="G10" s="18">
        <v>-45</v>
      </c>
      <c r="H10" s="18">
        <v>48</v>
      </c>
      <c r="I10" s="18">
        <v>-28</v>
      </c>
      <c r="J10" s="18">
        <v>-37</v>
      </c>
      <c r="K10" s="18">
        <v>41</v>
      </c>
      <c r="L10" s="20">
        <v>0</v>
      </c>
      <c r="M10" s="18">
        <f>0-L11</f>
        <v>54</v>
      </c>
      <c r="N10" s="18">
        <f>0-L12</f>
        <v>27</v>
      </c>
      <c r="O10" s="18">
        <f>0-L13</f>
        <v>-33</v>
      </c>
      <c r="P10" s="19">
        <f>0-L14</f>
        <v>36</v>
      </c>
      <c r="Q10" s="19">
        <f>0-L15</f>
        <v>-33</v>
      </c>
      <c r="R10" s="19">
        <f>0-L16</f>
        <v>49</v>
      </c>
      <c r="S10" s="19">
        <f>0-L17</f>
        <v>-50</v>
      </c>
      <c r="T10" s="18">
        <f>0-L18</f>
        <v>-33</v>
      </c>
      <c r="U10" s="19">
        <f>0-L19</f>
        <v>-12</v>
      </c>
      <c r="V10" s="19">
        <f>0-L20</f>
        <v>43</v>
      </c>
      <c r="W10" s="19">
        <f>0-L21</f>
        <v>-10</v>
      </c>
      <c r="X10" s="19">
        <f>0-L22</f>
        <v>22</v>
      </c>
      <c r="Y10" s="19">
        <f>0-L23</f>
        <v>42</v>
      </c>
      <c r="Z10" s="19">
        <f>0-L24</f>
        <v>58</v>
      </c>
      <c r="AA10" s="18">
        <f>0-L25</f>
        <v>25</v>
      </c>
      <c r="AB10" s="19">
        <f>0-L26</f>
        <v>-33</v>
      </c>
      <c r="AC10" s="21">
        <f>0-L27</f>
        <v>55</v>
      </c>
      <c r="AD10" s="10"/>
      <c r="AE10" s="5">
        <v>5</v>
      </c>
      <c r="AF10" s="6">
        <v>5</v>
      </c>
      <c r="AG10" s="6">
        <v>2</v>
      </c>
      <c r="AH10" s="6">
        <v>2</v>
      </c>
      <c r="AI10" s="6">
        <v>2</v>
      </c>
      <c r="AJ10" s="6">
        <v>1</v>
      </c>
      <c r="AK10" s="6">
        <f t="shared" si="0"/>
        <v>339</v>
      </c>
    </row>
    <row r="11" s="1" customFormat="1" ht="14.5" spans="1:37">
      <c r="A11" s="22">
        <v>10</v>
      </c>
      <c r="B11" s="23" t="s">
        <v>9</v>
      </c>
      <c r="C11" s="3" t="s">
        <v>43</v>
      </c>
      <c r="D11" s="24">
        <v>31</v>
      </c>
      <c r="E11" s="24">
        <v>34</v>
      </c>
      <c r="F11" s="24">
        <v>40</v>
      </c>
      <c r="G11" s="23">
        <v>66</v>
      </c>
      <c r="H11" s="23">
        <v>-45</v>
      </c>
      <c r="I11" s="23">
        <v>72</v>
      </c>
      <c r="J11" s="23">
        <v>-36</v>
      </c>
      <c r="K11" s="23">
        <v>27</v>
      </c>
      <c r="L11" s="23">
        <v>-54</v>
      </c>
      <c r="M11" s="25">
        <v>0</v>
      </c>
      <c r="N11" s="23">
        <f>0-M12</f>
        <v>24</v>
      </c>
      <c r="O11" s="23">
        <f>0-M13</f>
        <v>26</v>
      </c>
      <c r="P11" s="24">
        <f>0-M14</f>
        <v>-10</v>
      </c>
      <c r="Q11" s="24">
        <f>0-M15</f>
        <v>26</v>
      </c>
      <c r="R11" s="24">
        <f>0-M16</f>
        <v>32</v>
      </c>
      <c r="S11" s="24">
        <f>0-M17</f>
        <v>54</v>
      </c>
      <c r="T11" s="23">
        <f>0-M18</f>
        <v>67</v>
      </c>
      <c r="U11" s="24">
        <f>0-M19</f>
        <v>31</v>
      </c>
      <c r="V11" s="24">
        <f>0-M20</f>
        <v>49</v>
      </c>
      <c r="W11" s="24">
        <f>0-M21</f>
        <v>-10</v>
      </c>
      <c r="X11" s="24">
        <f>0-M22</f>
        <v>29</v>
      </c>
      <c r="Y11" s="24">
        <f>0-M23</f>
        <v>-41</v>
      </c>
      <c r="Z11" s="23">
        <f>0-M24</f>
        <v>-41</v>
      </c>
      <c r="AA11" s="23">
        <f>0-M25</f>
        <v>9</v>
      </c>
      <c r="AB11" s="24">
        <f>0-M26</f>
        <v>67</v>
      </c>
      <c r="AC11" s="10">
        <f>0-M27</f>
        <v>-20</v>
      </c>
      <c r="AD11" s="26" t="s">
        <v>44</v>
      </c>
      <c r="AE11" s="5">
        <v>1</v>
      </c>
      <c r="AF11" s="6">
        <v>15</v>
      </c>
      <c r="AG11" s="6">
        <v>2</v>
      </c>
      <c r="AH11" s="6">
        <v>1</v>
      </c>
      <c r="AI11" s="6">
        <v>2</v>
      </c>
      <c r="AJ11" s="6">
        <v>1</v>
      </c>
      <c r="AK11" s="6">
        <f t="shared" si="0"/>
        <v>427</v>
      </c>
    </row>
    <row r="12" s="1" customFormat="1" ht="14.5" spans="1:37">
      <c r="A12" s="2">
        <v>11</v>
      </c>
      <c r="B12" s="3" t="s">
        <v>10</v>
      </c>
      <c r="C12" s="3" t="s">
        <v>45</v>
      </c>
      <c r="D12" s="8">
        <v>-23</v>
      </c>
      <c r="E12" s="8">
        <v>-24</v>
      </c>
      <c r="F12" s="8">
        <v>-38</v>
      </c>
      <c r="G12" s="3">
        <v>18</v>
      </c>
      <c r="H12" s="3">
        <v>4</v>
      </c>
      <c r="I12" s="3">
        <v>10</v>
      </c>
      <c r="J12" s="3">
        <v>-3</v>
      </c>
      <c r="K12" s="3">
        <v>30</v>
      </c>
      <c r="L12" s="3">
        <v>-27</v>
      </c>
      <c r="M12" s="3">
        <v>-24</v>
      </c>
      <c r="N12" s="11">
        <v>0</v>
      </c>
      <c r="O12" s="3">
        <f>0-N13</f>
        <v>-13</v>
      </c>
      <c r="P12" s="8">
        <f>0-N14</f>
        <v>65</v>
      </c>
      <c r="Q12" s="8">
        <f>0-N15</f>
        <v>-23</v>
      </c>
      <c r="R12" s="8">
        <f>0-N16</f>
        <v>-28</v>
      </c>
      <c r="S12" s="8">
        <f>0-N17</f>
        <v>-37</v>
      </c>
      <c r="T12" s="3">
        <f>0-N18</f>
        <v>-10</v>
      </c>
      <c r="U12" s="8">
        <f>0-N19</f>
        <v>-29</v>
      </c>
      <c r="V12" s="8">
        <f>0-N20</f>
        <v>-44</v>
      </c>
      <c r="W12" s="8">
        <f>0-N21</f>
        <v>-10</v>
      </c>
      <c r="X12" s="8">
        <f>0-N22</f>
        <v>-24</v>
      </c>
      <c r="Y12" s="8">
        <f>0-N23</f>
        <v>-9</v>
      </c>
      <c r="Z12" s="3">
        <f>0-N24</f>
        <v>-8</v>
      </c>
      <c r="AA12" s="3">
        <f>0-N25</f>
        <v>-32</v>
      </c>
      <c r="AB12" s="8">
        <f>0-N26</f>
        <v>-8</v>
      </c>
      <c r="AC12" s="9">
        <f>0-N27</f>
        <v>-30</v>
      </c>
      <c r="AD12" s="10"/>
      <c r="AE12" s="5">
        <v>1</v>
      </c>
      <c r="AF12" s="6">
        <v>1</v>
      </c>
      <c r="AG12" s="6">
        <v>2</v>
      </c>
      <c r="AH12" s="6">
        <v>1</v>
      </c>
      <c r="AI12" s="6">
        <v>2</v>
      </c>
      <c r="AJ12" s="6">
        <v>1</v>
      </c>
      <c r="AK12" s="6">
        <f t="shared" si="0"/>
        <v>-317</v>
      </c>
    </row>
    <row r="13" s="1" customFormat="1" ht="14.5" spans="1:37">
      <c r="A13" s="2">
        <v>12</v>
      </c>
      <c r="B13" s="3" t="s">
        <v>11</v>
      </c>
      <c r="C13" s="3" t="s">
        <v>46</v>
      </c>
      <c r="D13" s="8">
        <v>8</v>
      </c>
      <c r="E13" s="8">
        <v>35</v>
      </c>
      <c r="F13" s="8">
        <v>28</v>
      </c>
      <c r="G13" s="3">
        <v>-25</v>
      </c>
      <c r="H13" s="3">
        <v>37</v>
      </c>
      <c r="I13" s="3">
        <v>-40</v>
      </c>
      <c r="J13" s="3">
        <v>13</v>
      </c>
      <c r="K13" s="3">
        <v>10</v>
      </c>
      <c r="L13" s="3">
        <v>33</v>
      </c>
      <c r="M13" s="3">
        <v>-26</v>
      </c>
      <c r="N13" s="3">
        <v>13</v>
      </c>
      <c r="O13" s="11">
        <v>0</v>
      </c>
      <c r="P13" s="8">
        <f>0-O14</f>
        <v>-10</v>
      </c>
      <c r="Q13" s="8">
        <f>0-O15</f>
        <v>-10</v>
      </c>
      <c r="R13" s="8">
        <f>0-O16</f>
        <v>-42</v>
      </c>
      <c r="S13" s="8">
        <f>0-O17</f>
        <v>55</v>
      </c>
      <c r="T13" s="3">
        <f>0-O18</f>
        <v>-45</v>
      </c>
      <c r="U13" s="8">
        <f>0-O19</f>
        <v>55</v>
      </c>
      <c r="V13" s="8">
        <f>0-O20</f>
        <v>30</v>
      </c>
      <c r="W13" s="8">
        <f>0-O21</f>
        <v>-20</v>
      </c>
      <c r="X13" s="8">
        <f>0-O22</f>
        <v>23</v>
      </c>
      <c r="Y13" s="8">
        <f>0-O23</f>
        <v>-8</v>
      </c>
      <c r="Z13" s="3">
        <f>0-O24</f>
        <v>-27</v>
      </c>
      <c r="AA13" s="3">
        <f>0-O25</f>
        <v>-28</v>
      </c>
      <c r="AB13" s="8">
        <f>0-O26</f>
        <v>-45</v>
      </c>
      <c r="AC13" s="9">
        <f>0-O27</f>
        <v>10</v>
      </c>
      <c r="AD13" s="10"/>
      <c r="AE13" s="5">
        <v>35</v>
      </c>
      <c r="AF13" s="6">
        <v>5</v>
      </c>
      <c r="AG13" s="6">
        <v>4</v>
      </c>
      <c r="AH13" s="6">
        <v>3</v>
      </c>
      <c r="AI13" s="6">
        <v>2</v>
      </c>
      <c r="AJ13" s="6">
        <v>1</v>
      </c>
      <c r="AK13" s="6">
        <f t="shared" si="0"/>
        <v>24</v>
      </c>
    </row>
    <row r="14" s="1" customFormat="1" ht="14.5" spans="1:37">
      <c r="A14" s="2">
        <v>13</v>
      </c>
      <c r="B14" s="3" t="s">
        <v>12</v>
      </c>
      <c r="C14" s="3" t="s">
        <v>47</v>
      </c>
      <c r="D14" s="8">
        <v>10</v>
      </c>
      <c r="E14" s="8">
        <v>-39</v>
      </c>
      <c r="F14" s="8">
        <v>10</v>
      </c>
      <c r="G14" s="3">
        <v>-29</v>
      </c>
      <c r="H14" s="3">
        <v>-32</v>
      </c>
      <c r="I14" s="3">
        <v>10</v>
      </c>
      <c r="J14" s="3">
        <v>10</v>
      </c>
      <c r="K14" s="3">
        <v>10</v>
      </c>
      <c r="L14" s="3">
        <v>-36</v>
      </c>
      <c r="M14" s="3">
        <v>10</v>
      </c>
      <c r="N14" s="3">
        <v>-65</v>
      </c>
      <c r="O14" s="3">
        <v>10</v>
      </c>
      <c r="P14" s="11">
        <v>0</v>
      </c>
      <c r="Q14" s="8">
        <f>0-P15</f>
        <v>10</v>
      </c>
      <c r="R14" s="8">
        <f>0-P16</f>
        <v>10</v>
      </c>
      <c r="S14" s="8">
        <f>0-P17</f>
        <v>10</v>
      </c>
      <c r="T14" s="3">
        <f>0-P18</f>
        <v>10</v>
      </c>
      <c r="U14" s="8">
        <f>0-P19</f>
        <v>10</v>
      </c>
      <c r="V14" s="8">
        <f>0-P20</f>
        <v>10</v>
      </c>
      <c r="W14" s="8">
        <f>0-P21</f>
        <v>-20</v>
      </c>
      <c r="X14" s="8">
        <f>0-P22</f>
        <v>10</v>
      </c>
      <c r="Y14" s="8">
        <f>0-P23</f>
        <v>-70</v>
      </c>
      <c r="Z14" s="3">
        <f>0-P24</f>
        <v>10</v>
      </c>
      <c r="AA14" s="3">
        <f>0-P25</f>
        <v>-72</v>
      </c>
      <c r="AB14" s="8">
        <f>0-P26</f>
        <v>10</v>
      </c>
      <c r="AC14" s="9">
        <f>0-P27</f>
        <v>-10</v>
      </c>
      <c r="AD14" s="10"/>
      <c r="AE14" s="5">
        <v>15</v>
      </c>
      <c r="AF14" s="6">
        <v>20</v>
      </c>
      <c r="AG14" s="6">
        <v>2</v>
      </c>
      <c r="AH14" s="6">
        <v>1</v>
      </c>
      <c r="AI14" s="6">
        <v>2</v>
      </c>
      <c r="AJ14" s="6">
        <v>1</v>
      </c>
      <c r="AK14" s="6">
        <f t="shared" si="0"/>
        <v>-213</v>
      </c>
    </row>
    <row r="15" s="1" customFormat="1" ht="14.5" spans="1:37">
      <c r="A15" s="2">
        <v>14</v>
      </c>
      <c r="B15" s="3" t="s">
        <v>13</v>
      </c>
      <c r="C15" s="3" t="s">
        <v>48</v>
      </c>
      <c r="D15" s="8">
        <v>-10</v>
      </c>
      <c r="E15" s="8">
        <v>30</v>
      </c>
      <c r="F15" s="8">
        <v>32</v>
      </c>
      <c r="G15" s="8">
        <v>-15</v>
      </c>
      <c r="H15" s="8">
        <v>27</v>
      </c>
      <c r="I15" s="8">
        <v>-40</v>
      </c>
      <c r="J15" s="8">
        <v>-23</v>
      </c>
      <c r="K15" s="8">
        <v>20</v>
      </c>
      <c r="L15" s="8">
        <v>33</v>
      </c>
      <c r="M15" s="8">
        <v>-26</v>
      </c>
      <c r="N15" s="8">
        <v>23</v>
      </c>
      <c r="O15" s="8">
        <v>10</v>
      </c>
      <c r="P15" s="8">
        <v>-10</v>
      </c>
      <c r="Q15" s="7">
        <v>0</v>
      </c>
      <c r="R15" s="8">
        <f>0-Q16</f>
        <v>20</v>
      </c>
      <c r="S15" s="8">
        <f>0-Q17</f>
        <v>23</v>
      </c>
      <c r="T15" s="8">
        <f>0-Q18</f>
        <v>-42</v>
      </c>
      <c r="U15" s="8">
        <f>0-Q19</f>
        <v>-20</v>
      </c>
      <c r="V15" s="8">
        <f>0-Q20</f>
        <v>44</v>
      </c>
      <c r="W15" s="8">
        <f>0-Q21</f>
        <v>-20</v>
      </c>
      <c r="X15" s="8">
        <f>0-Q22</f>
        <v>18</v>
      </c>
      <c r="Y15" s="8">
        <f>0-Q23</f>
        <v>26</v>
      </c>
      <c r="Z15" s="8">
        <f>0-Q24</f>
        <v>-20</v>
      </c>
      <c r="AA15" s="8">
        <f>0-Q25</f>
        <v>-18</v>
      </c>
      <c r="AB15" s="8">
        <f>0-Q26</f>
        <v>-55</v>
      </c>
      <c r="AC15" s="9">
        <f>0-Q27</f>
        <v>-15</v>
      </c>
      <c r="AD15" s="9" t="s">
        <v>49</v>
      </c>
      <c r="AE15" s="5">
        <v>25</v>
      </c>
      <c r="AF15" s="6">
        <v>15</v>
      </c>
      <c r="AG15" s="6">
        <v>2</v>
      </c>
      <c r="AH15" s="6">
        <v>1</v>
      </c>
      <c r="AI15" s="6">
        <v>2</v>
      </c>
      <c r="AJ15" s="6">
        <v>1</v>
      </c>
      <c r="AK15" s="6">
        <f t="shared" si="0"/>
        <v>-8</v>
      </c>
    </row>
    <row r="16" s="1" customFormat="1" ht="14.5" spans="1:37">
      <c r="A16" s="2">
        <v>15</v>
      </c>
      <c r="B16" s="3" t="s">
        <v>14</v>
      </c>
      <c r="C16" s="3" t="s">
        <v>50</v>
      </c>
      <c r="D16" s="8">
        <v>5</v>
      </c>
      <c r="E16" s="8">
        <v>-38</v>
      </c>
      <c r="F16" s="8">
        <v>-47</v>
      </c>
      <c r="G16" s="8">
        <v>69</v>
      </c>
      <c r="H16" s="8">
        <v>-33</v>
      </c>
      <c r="I16" s="8">
        <v>70</v>
      </c>
      <c r="J16" s="8">
        <v>26</v>
      </c>
      <c r="K16" s="8">
        <v>-36</v>
      </c>
      <c r="L16" s="8">
        <v>-49</v>
      </c>
      <c r="M16" s="8">
        <v>-32</v>
      </c>
      <c r="N16" s="8">
        <v>28</v>
      </c>
      <c r="O16" s="8">
        <v>42</v>
      </c>
      <c r="P16" s="8">
        <v>-10</v>
      </c>
      <c r="Q16" s="8">
        <v>-20</v>
      </c>
      <c r="R16" s="7">
        <v>0</v>
      </c>
      <c r="S16" s="8">
        <f>0-R17</f>
        <v>61</v>
      </c>
      <c r="T16" s="8">
        <f>0-R18</f>
        <v>31</v>
      </c>
      <c r="U16" s="8">
        <f>0-R19</f>
        <v>-43</v>
      </c>
      <c r="V16" s="8">
        <f>0-R20</f>
        <v>36</v>
      </c>
      <c r="W16" s="8">
        <f>0-R21</f>
        <v>-10</v>
      </c>
      <c r="X16" s="8">
        <f>0-R22</f>
        <v>38</v>
      </c>
      <c r="Y16" s="8">
        <f>0-R23</f>
        <v>-21</v>
      </c>
      <c r="Z16" s="8">
        <f>0-R24</f>
        <v>-46</v>
      </c>
      <c r="AA16" s="8">
        <f>0-R25</f>
        <v>40</v>
      </c>
      <c r="AB16" s="8">
        <f>0-R26</f>
        <v>65</v>
      </c>
      <c r="AC16" s="9">
        <f>0-R27</f>
        <v>-15</v>
      </c>
      <c r="AD16" s="9" t="s">
        <v>51</v>
      </c>
      <c r="AE16" s="5">
        <v>5</v>
      </c>
      <c r="AF16" s="6">
        <v>10</v>
      </c>
      <c r="AG16" s="6">
        <v>2</v>
      </c>
      <c r="AH16" s="6">
        <v>1</v>
      </c>
      <c r="AI16" s="6">
        <v>2</v>
      </c>
      <c r="AJ16" s="6">
        <v>1</v>
      </c>
      <c r="AK16" s="6">
        <f t="shared" si="0"/>
        <v>111</v>
      </c>
    </row>
    <row r="17" s="1" customFormat="1" ht="14.5" spans="1:37">
      <c r="A17" s="2">
        <v>16</v>
      </c>
      <c r="B17" s="3" t="s">
        <v>15</v>
      </c>
      <c r="C17" s="3" t="s">
        <v>52</v>
      </c>
      <c r="D17" s="8">
        <v>-41</v>
      </c>
      <c r="E17" s="8">
        <v>49</v>
      </c>
      <c r="F17" s="8">
        <v>52</v>
      </c>
      <c r="G17" s="8">
        <v>10</v>
      </c>
      <c r="H17" s="8">
        <v>45</v>
      </c>
      <c r="I17" s="8">
        <v>13</v>
      </c>
      <c r="J17" s="8">
        <v>-59</v>
      </c>
      <c r="K17" s="8">
        <v>26</v>
      </c>
      <c r="L17" s="8">
        <v>50</v>
      </c>
      <c r="M17" s="8">
        <v>-54</v>
      </c>
      <c r="N17" s="8">
        <v>37</v>
      </c>
      <c r="O17" s="8">
        <v>-55</v>
      </c>
      <c r="P17" s="8">
        <v>-10</v>
      </c>
      <c r="Q17" s="8">
        <v>-23</v>
      </c>
      <c r="R17" s="8">
        <v>-61</v>
      </c>
      <c r="S17" s="7">
        <v>0</v>
      </c>
      <c r="T17" s="8">
        <f>0-S18</f>
        <v>-9</v>
      </c>
      <c r="U17" s="8">
        <f>0-S19</f>
        <v>44</v>
      </c>
      <c r="V17" s="8">
        <f>0-S20</f>
        <v>-29</v>
      </c>
      <c r="W17" s="8">
        <f>0-S21</f>
        <v>-20</v>
      </c>
      <c r="X17" s="8">
        <f>0-S22</f>
        <v>-44</v>
      </c>
      <c r="Y17" s="8">
        <f>0-S23</f>
        <v>-24</v>
      </c>
      <c r="Z17" s="8">
        <f>0-S24</f>
        <v>-23</v>
      </c>
      <c r="AA17" s="8">
        <f>0-S25</f>
        <v>-25</v>
      </c>
      <c r="AB17" s="8">
        <f>0-S26</f>
        <v>8</v>
      </c>
      <c r="AC17" s="9">
        <f>0-S27</f>
        <v>20</v>
      </c>
      <c r="AD17" s="9" t="s">
        <v>53</v>
      </c>
      <c r="AE17" s="5">
        <v>50</v>
      </c>
      <c r="AF17" s="6">
        <v>99</v>
      </c>
      <c r="AG17" s="6">
        <v>4</v>
      </c>
      <c r="AH17" s="6">
        <v>3</v>
      </c>
      <c r="AI17" s="6">
        <v>2</v>
      </c>
      <c r="AJ17" s="6">
        <v>2</v>
      </c>
      <c r="AK17" s="6">
        <f t="shared" si="0"/>
        <v>-123</v>
      </c>
    </row>
    <row r="18" s="1" customFormat="1" ht="14.5" spans="1:37">
      <c r="A18" s="2">
        <v>17</v>
      </c>
      <c r="B18" s="3" t="s">
        <v>16</v>
      </c>
      <c r="C18" s="3" t="s">
        <v>54</v>
      </c>
      <c r="D18" s="8">
        <v>-57</v>
      </c>
      <c r="E18" s="8">
        <v>36</v>
      </c>
      <c r="F18" s="8">
        <v>35</v>
      </c>
      <c r="G18" s="8">
        <v>-3</v>
      </c>
      <c r="H18" s="8">
        <v>30</v>
      </c>
      <c r="I18" s="8">
        <v>5</v>
      </c>
      <c r="J18" s="8">
        <v>-55</v>
      </c>
      <c r="K18" s="8">
        <v>-58</v>
      </c>
      <c r="L18" s="8">
        <v>33</v>
      </c>
      <c r="M18" s="8">
        <v>-67</v>
      </c>
      <c r="N18" s="8">
        <v>10</v>
      </c>
      <c r="O18" s="8">
        <v>45</v>
      </c>
      <c r="P18" s="8">
        <v>-10</v>
      </c>
      <c r="Q18" s="8">
        <v>42</v>
      </c>
      <c r="R18" s="8">
        <v>-31</v>
      </c>
      <c r="S18" s="8">
        <v>9</v>
      </c>
      <c r="T18" s="11">
        <v>0</v>
      </c>
      <c r="U18" s="8">
        <f>0-T19</f>
        <v>25</v>
      </c>
      <c r="V18" s="8">
        <f>0-T20</f>
        <v>35</v>
      </c>
      <c r="W18" s="8">
        <f>0-T21</f>
        <v>-20</v>
      </c>
      <c r="X18" s="8">
        <f>0-T22</f>
        <v>10</v>
      </c>
      <c r="Y18" s="8">
        <f>0-T23</f>
        <v>36</v>
      </c>
      <c r="Z18" s="3">
        <f>0-T24</f>
        <v>15</v>
      </c>
      <c r="AA18" s="3">
        <f>0-T25</f>
        <v>28</v>
      </c>
      <c r="AB18" s="8">
        <f>0-T26</f>
        <v>25</v>
      </c>
      <c r="AC18" s="9">
        <f>0-T27</f>
        <v>-15</v>
      </c>
      <c r="AD18" s="9" t="s">
        <v>55</v>
      </c>
      <c r="AE18" s="5">
        <v>15</v>
      </c>
      <c r="AF18" s="6">
        <v>25</v>
      </c>
      <c r="AG18" s="6">
        <v>2</v>
      </c>
      <c r="AH18" s="6">
        <v>1</v>
      </c>
      <c r="AI18" s="6">
        <v>2</v>
      </c>
      <c r="AJ18" s="6">
        <v>1</v>
      </c>
      <c r="AK18" s="6">
        <f t="shared" si="0"/>
        <v>103</v>
      </c>
    </row>
    <row r="19" s="1" customFormat="1" ht="14.5" spans="1:37">
      <c r="A19" s="12">
        <v>18</v>
      </c>
      <c r="B19" s="13" t="s">
        <v>17</v>
      </c>
      <c r="C19" s="3" t="s">
        <v>56</v>
      </c>
      <c r="D19" s="14">
        <v>50</v>
      </c>
      <c r="E19" s="14">
        <v>26</v>
      </c>
      <c r="F19" s="14">
        <v>23</v>
      </c>
      <c r="G19" s="14">
        <v>-24</v>
      </c>
      <c r="H19" s="14">
        <v>14</v>
      </c>
      <c r="I19" s="14">
        <v>-41</v>
      </c>
      <c r="J19" s="14">
        <v>51</v>
      </c>
      <c r="K19" s="14">
        <v>56</v>
      </c>
      <c r="L19" s="14">
        <v>12</v>
      </c>
      <c r="M19" s="14">
        <v>-31</v>
      </c>
      <c r="N19" s="14">
        <v>29</v>
      </c>
      <c r="O19" s="14">
        <v>-55</v>
      </c>
      <c r="P19" s="14">
        <v>-10</v>
      </c>
      <c r="Q19" s="14">
        <v>20</v>
      </c>
      <c r="R19" s="14">
        <v>43</v>
      </c>
      <c r="S19" s="14">
        <v>-44</v>
      </c>
      <c r="T19" s="14">
        <v>-25</v>
      </c>
      <c r="U19" s="27">
        <v>0</v>
      </c>
      <c r="V19" s="14">
        <f>0-U20</f>
        <v>-20</v>
      </c>
      <c r="W19" s="14">
        <f>0-U21</f>
        <v>-10</v>
      </c>
      <c r="X19" s="14">
        <f>0-U22</f>
        <v>49</v>
      </c>
      <c r="Y19" s="14">
        <f>0-U23</f>
        <v>-11</v>
      </c>
      <c r="Z19" s="14">
        <f>0-U24</f>
        <v>-12</v>
      </c>
      <c r="AA19" s="14">
        <f>0-U25</f>
        <v>-33</v>
      </c>
      <c r="AB19" s="14">
        <f>0-U26</f>
        <v>-18</v>
      </c>
      <c r="AC19" s="16">
        <f>0-U27</f>
        <v>-25</v>
      </c>
      <c r="AD19" s="16" t="s">
        <v>57</v>
      </c>
      <c r="AE19" s="5">
        <v>1</v>
      </c>
      <c r="AF19" s="6">
        <v>15</v>
      </c>
      <c r="AG19" s="6">
        <v>2</v>
      </c>
      <c r="AH19" s="6">
        <v>1</v>
      </c>
      <c r="AI19" s="6">
        <v>2</v>
      </c>
      <c r="AJ19" s="6">
        <v>1</v>
      </c>
      <c r="AK19" s="6">
        <f t="shared" si="0"/>
        <v>14</v>
      </c>
    </row>
    <row r="20" s="1" customFormat="1" ht="14.5" spans="1:37">
      <c r="A20" s="17">
        <v>19</v>
      </c>
      <c r="B20" s="18" t="s">
        <v>18</v>
      </c>
      <c r="C20" s="3" t="s">
        <v>58</v>
      </c>
      <c r="D20" s="19">
        <v>53</v>
      </c>
      <c r="E20" s="19">
        <v>15</v>
      </c>
      <c r="F20" s="19">
        <v>-11</v>
      </c>
      <c r="G20" s="19">
        <v>-29</v>
      </c>
      <c r="H20" s="19">
        <v>-16</v>
      </c>
      <c r="I20" s="19">
        <v>-26</v>
      </c>
      <c r="J20" s="19">
        <v>55</v>
      </c>
      <c r="K20" s="19">
        <v>-46</v>
      </c>
      <c r="L20" s="19">
        <v>-43</v>
      </c>
      <c r="M20" s="19">
        <v>-49</v>
      </c>
      <c r="N20" s="19">
        <v>44</v>
      </c>
      <c r="O20" s="19">
        <v>-30</v>
      </c>
      <c r="P20" s="19">
        <v>-10</v>
      </c>
      <c r="Q20" s="19">
        <v>-44</v>
      </c>
      <c r="R20" s="19">
        <v>-36</v>
      </c>
      <c r="S20" s="19">
        <v>29</v>
      </c>
      <c r="T20" s="19">
        <v>-35</v>
      </c>
      <c r="U20" s="19">
        <v>20</v>
      </c>
      <c r="V20" s="28">
        <v>0</v>
      </c>
      <c r="W20" s="19">
        <f>0-V21</f>
        <v>45</v>
      </c>
      <c r="X20" s="19">
        <f>0-V22</f>
        <v>-66</v>
      </c>
      <c r="Y20" s="19">
        <f>0-V23</f>
        <v>-20</v>
      </c>
      <c r="Z20" s="19">
        <f>0-V24</f>
        <v>-24</v>
      </c>
      <c r="AA20" s="19">
        <f>0-V25</f>
        <v>38</v>
      </c>
      <c r="AB20" s="19">
        <f>0-V26</f>
        <v>-31</v>
      </c>
      <c r="AC20" s="21">
        <f>0-V27</f>
        <v>-15</v>
      </c>
      <c r="AD20" s="21" t="s">
        <v>59</v>
      </c>
      <c r="AE20" s="5">
        <v>1</v>
      </c>
      <c r="AF20" s="6">
        <v>5</v>
      </c>
      <c r="AG20" s="6">
        <v>2</v>
      </c>
      <c r="AH20" s="6">
        <v>1</v>
      </c>
      <c r="AI20" s="6">
        <v>2</v>
      </c>
      <c r="AJ20" s="6">
        <v>1</v>
      </c>
      <c r="AK20" s="6">
        <f t="shared" si="0"/>
        <v>-232</v>
      </c>
    </row>
    <row r="21" s="1" customFormat="1" ht="14.5" spans="1:37">
      <c r="A21" s="17">
        <v>20</v>
      </c>
      <c r="B21" s="18" t="s">
        <v>19</v>
      </c>
      <c r="C21" s="3" t="s">
        <v>60</v>
      </c>
      <c r="D21" s="19">
        <v>10</v>
      </c>
      <c r="E21" s="19">
        <v>10</v>
      </c>
      <c r="F21" s="19">
        <v>10</v>
      </c>
      <c r="G21" s="19">
        <v>20</v>
      </c>
      <c r="H21" s="19">
        <v>20</v>
      </c>
      <c r="I21" s="19">
        <v>20</v>
      </c>
      <c r="J21" s="19">
        <v>10</v>
      </c>
      <c r="K21" s="19">
        <v>10</v>
      </c>
      <c r="L21" s="19">
        <v>10</v>
      </c>
      <c r="M21" s="19">
        <v>10</v>
      </c>
      <c r="N21" s="19">
        <v>10</v>
      </c>
      <c r="O21" s="19">
        <v>20</v>
      </c>
      <c r="P21" s="19">
        <v>20</v>
      </c>
      <c r="Q21" s="19">
        <v>20</v>
      </c>
      <c r="R21" s="19">
        <v>10</v>
      </c>
      <c r="S21" s="19">
        <v>20</v>
      </c>
      <c r="T21" s="19">
        <v>20</v>
      </c>
      <c r="U21" s="19">
        <v>10</v>
      </c>
      <c r="V21" s="19">
        <v>-45</v>
      </c>
      <c r="W21" s="20">
        <v>0</v>
      </c>
      <c r="X21" s="19">
        <f>0-W22</f>
        <v>10</v>
      </c>
      <c r="Y21" s="19">
        <f>0-W23</f>
        <v>10</v>
      </c>
      <c r="Z21" s="19">
        <f>0-W24</f>
        <v>20</v>
      </c>
      <c r="AA21" s="19">
        <f>0-W25</f>
        <v>-10</v>
      </c>
      <c r="AB21" s="19">
        <f>0-W26</f>
        <v>20</v>
      </c>
      <c r="AC21" s="19">
        <f>0-W27</f>
        <v>-25</v>
      </c>
      <c r="AD21" s="26" t="s">
        <v>61</v>
      </c>
      <c r="AE21" s="5">
        <v>1</v>
      </c>
      <c r="AF21" s="6">
        <v>15</v>
      </c>
      <c r="AG21" s="6">
        <v>2</v>
      </c>
      <c r="AH21" s="6">
        <v>1</v>
      </c>
      <c r="AI21" s="6">
        <v>2</v>
      </c>
      <c r="AJ21" s="6">
        <v>1</v>
      </c>
      <c r="AK21" s="6">
        <f t="shared" si="0"/>
        <v>240</v>
      </c>
    </row>
    <row r="22" s="1" customFormat="1" ht="14.5" spans="1:37">
      <c r="A22" s="17">
        <v>21</v>
      </c>
      <c r="B22" s="18" t="s">
        <v>20</v>
      </c>
      <c r="C22" s="3" t="s">
        <v>62</v>
      </c>
      <c r="D22" s="19">
        <v>12</v>
      </c>
      <c r="E22" s="19">
        <v>-19</v>
      </c>
      <c r="F22" s="19">
        <v>-33</v>
      </c>
      <c r="G22" s="19">
        <v>59</v>
      </c>
      <c r="H22" s="19">
        <v>-23</v>
      </c>
      <c r="I22" s="19">
        <v>55</v>
      </c>
      <c r="J22" s="19">
        <v>27</v>
      </c>
      <c r="K22" s="19">
        <v>24</v>
      </c>
      <c r="L22" s="19">
        <v>-22</v>
      </c>
      <c r="M22" s="19">
        <v>-29</v>
      </c>
      <c r="N22" s="19">
        <v>24</v>
      </c>
      <c r="O22" s="19">
        <v>-23</v>
      </c>
      <c r="P22" s="19">
        <v>-10</v>
      </c>
      <c r="Q22" s="19">
        <v>-18</v>
      </c>
      <c r="R22" s="19">
        <v>-38</v>
      </c>
      <c r="S22" s="19">
        <v>44</v>
      </c>
      <c r="T22" s="19">
        <v>-10</v>
      </c>
      <c r="U22" s="19">
        <v>-49</v>
      </c>
      <c r="V22" s="19">
        <v>66</v>
      </c>
      <c r="W22" s="19">
        <v>-10</v>
      </c>
      <c r="X22" s="28">
        <v>0</v>
      </c>
      <c r="Y22" s="19">
        <f>0-X23</f>
        <v>24</v>
      </c>
      <c r="Z22" s="19">
        <f>0-X24</f>
        <v>-15</v>
      </c>
      <c r="AA22" s="19">
        <f>0-X25</f>
        <v>-25</v>
      </c>
      <c r="AB22" s="19">
        <f>0-X26</f>
        <v>-36</v>
      </c>
      <c r="AC22" s="21">
        <f>0-X27</f>
        <v>-15</v>
      </c>
      <c r="AD22" s="21" t="s">
        <v>51</v>
      </c>
      <c r="AE22" s="5">
        <v>1</v>
      </c>
      <c r="AF22" s="6">
        <v>5</v>
      </c>
      <c r="AG22" s="6">
        <v>2</v>
      </c>
      <c r="AH22" s="6">
        <v>1</v>
      </c>
      <c r="AI22" s="6">
        <v>2</v>
      </c>
      <c r="AJ22" s="6">
        <v>1</v>
      </c>
      <c r="AK22" s="6">
        <f t="shared" si="0"/>
        <v>-40</v>
      </c>
    </row>
    <row r="23" s="1" customFormat="1" ht="14.5" spans="1:37">
      <c r="A23" s="17">
        <v>22</v>
      </c>
      <c r="B23" s="18" t="s">
        <v>21</v>
      </c>
      <c r="C23" s="3" t="s">
        <v>63</v>
      </c>
      <c r="D23" s="19">
        <v>46</v>
      </c>
      <c r="E23" s="19">
        <v>-25</v>
      </c>
      <c r="F23" s="19">
        <v>-31</v>
      </c>
      <c r="G23" s="19">
        <v>69</v>
      </c>
      <c r="H23" s="19">
        <v>-36</v>
      </c>
      <c r="I23" s="19">
        <v>27</v>
      </c>
      <c r="J23" s="19">
        <v>15</v>
      </c>
      <c r="K23" s="19">
        <v>-23</v>
      </c>
      <c r="L23" s="19">
        <v>-42</v>
      </c>
      <c r="M23" s="19">
        <v>41</v>
      </c>
      <c r="N23" s="19">
        <v>9</v>
      </c>
      <c r="O23" s="19">
        <v>8</v>
      </c>
      <c r="P23" s="19">
        <v>70</v>
      </c>
      <c r="Q23" s="19">
        <v>-26</v>
      </c>
      <c r="R23" s="19">
        <v>21</v>
      </c>
      <c r="S23" s="19">
        <v>24</v>
      </c>
      <c r="T23" s="19">
        <v>-36</v>
      </c>
      <c r="U23" s="19">
        <v>11</v>
      </c>
      <c r="V23" s="19">
        <v>20</v>
      </c>
      <c r="W23" s="19">
        <v>-10</v>
      </c>
      <c r="X23" s="19">
        <v>-24</v>
      </c>
      <c r="Y23" s="28">
        <v>0</v>
      </c>
      <c r="Z23" s="19">
        <f>0-Y24</f>
        <v>43</v>
      </c>
      <c r="AA23" s="19">
        <f>0-Y25</f>
        <v>47</v>
      </c>
      <c r="AB23" s="19">
        <f>0-Y26</f>
        <v>12</v>
      </c>
      <c r="AC23" s="21">
        <f>0-Y27</f>
        <v>45</v>
      </c>
      <c r="AD23" s="21" t="s">
        <v>64</v>
      </c>
      <c r="AE23" s="5">
        <v>1</v>
      </c>
      <c r="AF23" s="6">
        <v>5</v>
      </c>
      <c r="AG23" s="6">
        <v>2</v>
      </c>
      <c r="AH23" s="6">
        <v>1</v>
      </c>
      <c r="AI23" s="6">
        <v>2</v>
      </c>
      <c r="AJ23" s="6">
        <v>1</v>
      </c>
      <c r="AK23" s="6">
        <f t="shared" si="0"/>
        <v>255</v>
      </c>
    </row>
    <row r="24" s="1" customFormat="1" ht="14.5" spans="1:37">
      <c r="A24" s="17">
        <v>23</v>
      </c>
      <c r="B24" s="18" t="s">
        <v>22</v>
      </c>
      <c r="C24" s="3" t="s">
        <v>65</v>
      </c>
      <c r="D24" s="19">
        <v>35</v>
      </c>
      <c r="E24" s="19">
        <v>31</v>
      </c>
      <c r="F24" s="19">
        <v>-42</v>
      </c>
      <c r="G24" s="19">
        <v>31</v>
      </c>
      <c r="H24" s="19">
        <v>-45</v>
      </c>
      <c r="I24" s="19">
        <v>25</v>
      </c>
      <c r="J24" s="19">
        <v>16</v>
      </c>
      <c r="K24" s="19">
        <v>38</v>
      </c>
      <c r="L24" s="19">
        <v>-58</v>
      </c>
      <c r="M24" s="19">
        <v>41</v>
      </c>
      <c r="N24" s="19">
        <v>8</v>
      </c>
      <c r="O24" s="19">
        <v>27</v>
      </c>
      <c r="P24" s="19">
        <v>-10</v>
      </c>
      <c r="Q24" s="19">
        <v>20</v>
      </c>
      <c r="R24" s="19">
        <v>46</v>
      </c>
      <c r="S24" s="19">
        <v>23</v>
      </c>
      <c r="T24" s="19">
        <v>-15</v>
      </c>
      <c r="U24" s="19">
        <v>12</v>
      </c>
      <c r="V24" s="19">
        <v>24</v>
      </c>
      <c r="W24" s="19">
        <v>-20</v>
      </c>
      <c r="X24" s="19">
        <v>15</v>
      </c>
      <c r="Y24" s="19">
        <v>-43</v>
      </c>
      <c r="Z24" s="28">
        <v>0</v>
      </c>
      <c r="AA24" s="19">
        <f>0-Z25</f>
        <v>43</v>
      </c>
      <c r="AB24" s="19">
        <f>0-Z26</f>
        <v>20</v>
      </c>
      <c r="AC24" s="21">
        <f>0-Z27</f>
        <v>38</v>
      </c>
      <c r="AD24" s="21" t="s">
        <v>66</v>
      </c>
      <c r="AE24" s="5">
        <v>10</v>
      </c>
      <c r="AF24" s="6">
        <v>25</v>
      </c>
      <c r="AG24" s="6">
        <v>2</v>
      </c>
      <c r="AH24" s="6">
        <v>1</v>
      </c>
      <c r="AI24" s="6">
        <v>2</v>
      </c>
      <c r="AJ24" s="6">
        <v>1</v>
      </c>
      <c r="AK24" s="6">
        <f t="shared" si="0"/>
        <v>260</v>
      </c>
    </row>
    <row r="25" s="1" customFormat="1" ht="14.5" spans="1:37">
      <c r="A25" s="17">
        <v>24</v>
      </c>
      <c r="B25" s="18" t="s">
        <v>23</v>
      </c>
      <c r="C25" s="3" t="s">
        <v>67</v>
      </c>
      <c r="D25" s="19">
        <v>49</v>
      </c>
      <c r="E25" s="19">
        <v>38</v>
      </c>
      <c r="F25" s="19">
        <v>41</v>
      </c>
      <c r="G25" s="19">
        <v>20</v>
      </c>
      <c r="H25" s="19">
        <v>-26</v>
      </c>
      <c r="I25" s="19">
        <v>-23</v>
      </c>
      <c r="J25" s="19">
        <v>-36</v>
      </c>
      <c r="K25" s="19">
        <v>46</v>
      </c>
      <c r="L25" s="19">
        <v>-25</v>
      </c>
      <c r="M25" s="19">
        <v>-9</v>
      </c>
      <c r="N25" s="19">
        <v>32</v>
      </c>
      <c r="O25" s="19">
        <v>28</v>
      </c>
      <c r="P25" s="19">
        <v>72</v>
      </c>
      <c r="Q25" s="19">
        <v>18</v>
      </c>
      <c r="R25" s="19">
        <v>-40</v>
      </c>
      <c r="S25" s="19">
        <v>25</v>
      </c>
      <c r="T25" s="18">
        <v>-28</v>
      </c>
      <c r="U25" s="18">
        <v>33</v>
      </c>
      <c r="V25" s="18">
        <v>-38</v>
      </c>
      <c r="W25" s="19">
        <v>10</v>
      </c>
      <c r="X25" s="19">
        <v>25</v>
      </c>
      <c r="Y25" s="19">
        <v>-47</v>
      </c>
      <c r="Z25" s="18">
        <v>-43</v>
      </c>
      <c r="AA25" s="20">
        <v>0</v>
      </c>
      <c r="AB25" s="19">
        <f>0-AA26</f>
        <v>-27</v>
      </c>
      <c r="AC25" s="21">
        <f>0-AA27</f>
        <v>-42</v>
      </c>
      <c r="AD25" s="21" t="s">
        <v>68</v>
      </c>
      <c r="AE25" s="5">
        <v>10</v>
      </c>
      <c r="AF25" s="6">
        <v>10</v>
      </c>
      <c r="AG25" s="6">
        <v>2</v>
      </c>
      <c r="AH25" s="6">
        <v>1</v>
      </c>
      <c r="AI25" s="6">
        <v>2</v>
      </c>
      <c r="AJ25" s="6">
        <v>1</v>
      </c>
      <c r="AK25" s="6">
        <f t="shared" si="0"/>
        <v>53</v>
      </c>
    </row>
    <row r="26" s="1" customFormat="1" ht="14.5" spans="1:37">
      <c r="A26" s="17">
        <v>25</v>
      </c>
      <c r="B26" s="18" t="s">
        <v>24</v>
      </c>
      <c r="C26" s="3" t="s">
        <v>69</v>
      </c>
      <c r="D26" s="19">
        <v>-60</v>
      </c>
      <c r="E26" s="19">
        <v>36</v>
      </c>
      <c r="F26" s="19">
        <v>35</v>
      </c>
      <c r="G26" s="19">
        <v>-38</v>
      </c>
      <c r="H26" s="19">
        <v>28</v>
      </c>
      <c r="I26" s="19">
        <v>-30</v>
      </c>
      <c r="J26" s="19">
        <v>-10</v>
      </c>
      <c r="K26" s="19">
        <v>17</v>
      </c>
      <c r="L26" s="19">
        <v>33</v>
      </c>
      <c r="M26" s="19">
        <v>-67</v>
      </c>
      <c r="N26" s="19">
        <v>8</v>
      </c>
      <c r="O26" s="19">
        <v>45</v>
      </c>
      <c r="P26" s="19">
        <v>-10</v>
      </c>
      <c r="Q26" s="19">
        <v>55</v>
      </c>
      <c r="R26" s="19">
        <v>-65</v>
      </c>
      <c r="S26" s="19">
        <v>-8</v>
      </c>
      <c r="T26" s="19">
        <v>-25</v>
      </c>
      <c r="U26" s="19">
        <v>18</v>
      </c>
      <c r="V26" s="19">
        <v>31</v>
      </c>
      <c r="W26" s="19">
        <v>-20</v>
      </c>
      <c r="X26" s="19">
        <v>36</v>
      </c>
      <c r="Y26" s="19">
        <v>-12</v>
      </c>
      <c r="Z26" s="19">
        <v>-20</v>
      </c>
      <c r="AA26" s="19">
        <v>27</v>
      </c>
      <c r="AB26" s="28">
        <f>0</f>
        <v>0</v>
      </c>
      <c r="AC26" s="21">
        <f>0-AB27</f>
        <v>15</v>
      </c>
      <c r="AD26" s="21" t="s">
        <v>70</v>
      </c>
      <c r="AE26" s="5">
        <v>15</v>
      </c>
      <c r="AF26" s="6">
        <v>25</v>
      </c>
      <c r="AG26" s="6">
        <v>2</v>
      </c>
      <c r="AH26" s="6">
        <v>1</v>
      </c>
      <c r="AI26" s="6">
        <v>2</v>
      </c>
      <c r="AJ26" s="6">
        <v>1</v>
      </c>
      <c r="AK26" s="6">
        <f t="shared" si="0"/>
        <v>19</v>
      </c>
    </row>
    <row r="27" s="1" customFormat="1" ht="14.5" spans="1:37">
      <c r="A27" s="22">
        <v>26</v>
      </c>
      <c r="B27" s="23" t="s">
        <v>25</v>
      </c>
      <c r="C27" s="3" t="s">
        <v>71</v>
      </c>
      <c r="D27" s="24">
        <v>15</v>
      </c>
      <c r="E27" s="24">
        <v>15</v>
      </c>
      <c r="F27" s="24">
        <v>15</v>
      </c>
      <c r="G27" s="24">
        <v>-15</v>
      </c>
      <c r="H27" s="24">
        <v>-30</v>
      </c>
      <c r="I27" s="24">
        <v>-15</v>
      </c>
      <c r="J27" s="24">
        <v>-41</v>
      </c>
      <c r="K27" s="24">
        <v>25</v>
      </c>
      <c r="L27" s="24">
        <v>-55</v>
      </c>
      <c r="M27" s="24">
        <v>20</v>
      </c>
      <c r="N27" s="24">
        <v>30</v>
      </c>
      <c r="O27" s="24">
        <v>-10</v>
      </c>
      <c r="P27" s="24">
        <v>10</v>
      </c>
      <c r="Q27" s="24">
        <v>15</v>
      </c>
      <c r="R27" s="24">
        <v>15</v>
      </c>
      <c r="S27" s="24">
        <v>-20</v>
      </c>
      <c r="T27" s="24">
        <v>15</v>
      </c>
      <c r="U27" s="24">
        <v>25</v>
      </c>
      <c r="V27" s="24">
        <v>15</v>
      </c>
      <c r="W27" s="24">
        <v>25</v>
      </c>
      <c r="X27" s="24">
        <v>15</v>
      </c>
      <c r="Y27" s="24">
        <v>-45</v>
      </c>
      <c r="Z27" s="24">
        <v>-38</v>
      </c>
      <c r="AA27" s="24">
        <v>42</v>
      </c>
      <c r="AB27" s="24">
        <v>-15</v>
      </c>
      <c r="AC27" s="29">
        <v>0</v>
      </c>
      <c r="AD27" s="10" t="s">
        <v>72</v>
      </c>
      <c r="AE27" s="4">
        <v>15</v>
      </c>
      <c r="AF27" s="30">
        <v>20</v>
      </c>
      <c r="AG27" s="30">
        <v>2</v>
      </c>
      <c r="AH27" s="30">
        <v>1</v>
      </c>
      <c r="AI27" s="30">
        <v>2</v>
      </c>
      <c r="AJ27" s="30">
        <v>1</v>
      </c>
      <c r="AK27" s="6">
        <f t="shared" si="0"/>
        <v>13</v>
      </c>
    </row>
    <row r="28" s="1" customFormat="1" ht="15" customHeight="1" spans="1:37">
      <c r="A28" s="31" t="s">
        <v>73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12" t="s">
        <v>74</v>
      </c>
      <c r="AF28" s="13"/>
      <c r="AG28" s="13"/>
      <c r="AH28" s="13"/>
      <c r="AI28" s="13"/>
      <c r="AJ28" s="13"/>
      <c r="AK28" s="5"/>
    </row>
    <row r="29" s="1" customFormat="1" ht="15" customHeight="1" spans="1:37">
      <c r="A29" s="22"/>
      <c r="B29" s="23"/>
      <c r="C29" s="23"/>
      <c r="D29" s="23" t="s">
        <v>75</v>
      </c>
      <c r="E29" s="23" t="s">
        <v>76</v>
      </c>
      <c r="F29" s="23" t="s">
        <v>77</v>
      </c>
      <c r="G29" s="23" t="s">
        <v>78</v>
      </c>
      <c r="H29" s="23" t="s">
        <v>79</v>
      </c>
      <c r="I29" s="23" t="s">
        <v>80</v>
      </c>
      <c r="J29" s="23" t="s">
        <v>81</v>
      </c>
      <c r="K29" s="23" t="s">
        <v>82</v>
      </c>
      <c r="L29" s="23" t="s">
        <v>83</v>
      </c>
      <c r="M29" s="32" t="s">
        <v>84</v>
      </c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4"/>
    </row>
    <row r="30" s="1" customFormat="1" ht="15" customHeight="1" spans="1:37">
      <c r="A30" s="2">
        <v>1</v>
      </c>
      <c r="B30" s="3" t="s">
        <v>75</v>
      </c>
      <c r="C30" s="3"/>
      <c r="D30" s="3">
        <v>0</v>
      </c>
      <c r="E30" s="3">
        <f>0-D31</f>
        <v>-11</v>
      </c>
      <c r="F30" s="3">
        <f>0-D32</f>
        <v>-21</v>
      </c>
      <c r="G30" s="35">
        <f>0-D33</f>
        <v>30</v>
      </c>
      <c r="H30" s="3">
        <f>0-D34</f>
        <v>18</v>
      </c>
      <c r="I30" s="3">
        <f>0-D35</f>
        <v>-3</v>
      </c>
      <c r="J30" s="3">
        <f>0-D36</f>
        <v>23</v>
      </c>
      <c r="K30" s="35">
        <f>0-D37</f>
        <v>-29</v>
      </c>
      <c r="L30" s="3">
        <f>0-D38</f>
        <v>-18</v>
      </c>
      <c r="M30" s="36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8"/>
    </row>
    <row r="31" s="1" customFormat="1" ht="15" customHeight="1" spans="1:37">
      <c r="A31" s="2">
        <v>2</v>
      </c>
      <c r="B31" s="3" t="s">
        <v>76</v>
      </c>
      <c r="C31" s="3"/>
      <c r="D31" s="3">
        <v>11</v>
      </c>
      <c r="E31" s="3">
        <v>0</v>
      </c>
      <c r="F31" s="3">
        <f>0-E32</f>
        <v>-15</v>
      </c>
      <c r="G31" s="3">
        <f>0-E33</f>
        <v>24</v>
      </c>
      <c r="H31" s="35">
        <f>0-E34</f>
        <v>29</v>
      </c>
      <c r="I31" s="3">
        <f>0-E35</f>
        <v>9</v>
      </c>
      <c r="J31" s="3">
        <f>0-E36</f>
        <v>23</v>
      </c>
      <c r="K31" s="3">
        <f>0-E37</f>
        <v>-24</v>
      </c>
      <c r="L31" s="35">
        <f>0-E38</f>
        <v>-30</v>
      </c>
      <c r="M31" s="36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8"/>
    </row>
    <row r="32" s="1" customFormat="1" ht="15" customHeight="1" spans="1:37">
      <c r="A32" s="2">
        <v>3</v>
      </c>
      <c r="B32" s="3" t="s">
        <v>77</v>
      </c>
      <c r="C32" s="3"/>
      <c r="D32" s="3">
        <v>21</v>
      </c>
      <c r="E32" s="3">
        <v>15</v>
      </c>
      <c r="F32" s="3">
        <v>0</v>
      </c>
      <c r="G32" s="3">
        <f>0-F33</f>
        <v>-20</v>
      </c>
      <c r="H32" s="3">
        <f>0-F34</f>
        <v>-17</v>
      </c>
      <c r="I32" s="35">
        <f>0-F35</f>
        <v>27</v>
      </c>
      <c r="J32" s="35">
        <f>0-F36</f>
        <v>-29</v>
      </c>
      <c r="K32" s="3">
        <f>0-F37</f>
        <v>-11</v>
      </c>
      <c r="L32" s="3">
        <f>0-F38</f>
        <v>3</v>
      </c>
      <c r="M32" s="36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</row>
    <row r="33" s="1" customFormat="1" ht="15" customHeight="1" spans="1:30">
      <c r="A33" s="2">
        <v>4</v>
      </c>
      <c r="B33" s="3" t="s">
        <v>78</v>
      </c>
      <c r="C33" s="3"/>
      <c r="D33" s="35">
        <v>-30</v>
      </c>
      <c r="E33" s="3">
        <v>-24</v>
      </c>
      <c r="F33" s="3">
        <v>20</v>
      </c>
      <c r="G33" s="3">
        <v>0</v>
      </c>
      <c r="H33" s="3">
        <f>0-G34</f>
        <v>-3</v>
      </c>
      <c r="I33" s="3">
        <f>0-G35</f>
        <v>-15</v>
      </c>
      <c r="J33" s="3">
        <f>0-G36</f>
        <v>-9</v>
      </c>
      <c r="K33" s="3">
        <f>0-G37</f>
        <v>17</v>
      </c>
      <c r="L33" s="35">
        <f>0-G38</f>
        <v>29</v>
      </c>
      <c r="M33" s="36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8"/>
    </row>
    <row r="34" s="1" customFormat="1" ht="15" customHeight="1" spans="1:30">
      <c r="A34" s="12">
        <v>5</v>
      </c>
      <c r="B34" s="13" t="s">
        <v>79</v>
      </c>
      <c r="C34" s="13"/>
      <c r="D34" s="13">
        <v>-18</v>
      </c>
      <c r="E34" s="39">
        <v>-29</v>
      </c>
      <c r="F34" s="13">
        <v>17</v>
      </c>
      <c r="G34" s="13">
        <v>3</v>
      </c>
      <c r="H34" s="13">
        <v>0</v>
      </c>
      <c r="I34" s="13">
        <f>0-H35</f>
        <v>-20</v>
      </c>
      <c r="J34" s="13">
        <f>0-H36</f>
        <v>-11</v>
      </c>
      <c r="K34" s="39">
        <f>0-H37</f>
        <v>30</v>
      </c>
      <c r="L34" s="13">
        <f>0-H38</f>
        <v>23</v>
      </c>
      <c r="M34" s="36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8"/>
    </row>
    <row r="35" s="1" customFormat="1" ht="15" customHeight="1" spans="1:30">
      <c r="A35" s="17">
        <v>6</v>
      </c>
      <c r="B35" s="18" t="s">
        <v>80</v>
      </c>
      <c r="C35" s="18"/>
      <c r="D35" s="18">
        <v>3</v>
      </c>
      <c r="E35" s="18">
        <v>-9</v>
      </c>
      <c r="F35" s="40">
        <v>-27</v>
      </c>
      <c r="G35" s="18">
        <v>15</v>
      </c>
      <c r="H35" s="18">
        <v>20</v>
      </c>
      <c r="I35" s="18">
        <v>0</v>
      </c>
      <c r="J35" s="40">
        <f>0-I36</f>
        <v>27</v>
      </c>
      <c r="K35" s="18">
        <f>0-I37</f>
        <v>-21</v>
      </c>
      <c r="L35" s="18">
        <f>0-I38</f>
        <v>-17</v>
      </c>
      <c r="M35" s="41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3"/>
    </row>
    <row r="36" s="1" customFormat="1" ht="15" customHeight="1" spans="1:30">
      <c r="A36" s="17">
        <v>7</v>
      </c>
      <c r="B36" s="18" t="s">
        <v>81</v>
      </c>
      <c r="C36" s="18"/>
      <c r="D36" s="18">
        <v>-23</v>
      </c>
      <c r="E36" s="18">
        <v>-23</v>
      </c>
      <c r="F36" s="40">
        <v>29</v>
      </c>
      <c r="G36" s="18">
        <v>9</v>
      </c>
      <c r="H36" s="18">
        <v>11</v>
      </c>
      <c r="I36" s="40">
        <v>-27</v>
      </c>
      <c r="J36" s="18">
        <v>0</v>
      </c>
      <c r="K36" s="18">
        <f>0-J37</f>
        <v>21</v>
      </c>
      <c r="L36" s="18">
        <f>0-J38</f>
        <v>24</v>
      </c>
      <c r="M36" s="44" t="s">
        <v>85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6"/>
    </row>
    <row r="37" s="1" customFormat="1" ht="15" customHeight="1" spans="1:30">
      <c r="A37" s="17">
        <v>8</v>
      </c>
      <c r="B37" s="18" t="s">
        <v>82</v>
      </c>
      <c r="C37" s="18"/>
      <c r="D37" s="40">
        <v>29</v>
      </c>
      <c r="E37" s="18">
        <v>24</v>
      </c>
      <c r="F37" s="18">
        <v>11</v>
      </c>
      <c r="G37" s="18">
        <v>-17</v>
      </c>
      <c r="H37" s="40">
        <v>-30</v>
      </c>
      <c r="I37" s="18">
        <v>21</v>
      </c>
      <c r="J37" s="18">
        <v>-21</v>
      </c>
      <c r="K37" s="18">
        <v>0</v>
      </c>
      <c r="L37" s="18">
        <f>0-K38</f>
        <v>12</v>
      </c>
      <c r="M37" s="47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9"/>
    </row>
    <row r="38" s="1" customFormat="1" ht="15" customHeight="1" spans="1:30">
      <c r="A38" s="17">
        <v>9</v>
      </c>
      <c r="B38" s="18" t="s">
        <v>83</v>
      </c>
      <c r="C38" s="18"/>
      <c r="D38" s="18">
        <v>18</v>
      </c>
      <c r="E38" s="40">
        <v>30</v>
      </c>
      <c r="F38" s="18">
        <v>-3</v>
      </c>
      <c r="G38" s="40">
        <v>-29</v>
      </c>
      <c r="H38" s="18">
        <v>-23</v>
      </c>
      <c r="I38" s="18">
        <v>17</v>
      </c>
      <c r="J38" s="18">
        <v>-24</v>
      </c>
      <c r="K38" s="18">
        <v>-12</v>
      </c>
      <c r="L38" s="18">
        <v>0</v>
      </c>
      <c r="M38" s="50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2"/>
    </row>
    <row r="39" s="1" customFormat="1" ht="14.5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="1" customFormat="1" ht="14.5" customHeight="1"/>
  </sheetData>
  <mergeCells count="6">
    <mergeCell ref="A28:AD28"/>
    <mergeCell ref="AE28:AK28"/>
    <mergeCell ref="AD2:AD10"/>
    <mergeCell ref="AD12:AD14"/>
    <mergeCell ref="M29:AD35"/>
    <mergeCell ref="M36:AD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a1348</cp:lastModifiedBy>
  <dcterms:created xsi:type="dcterms:W3CDTF">2023-05-12T11:15:00Z</dcterms:created>
  <dcterms:modified xsi:type="dcterms:W3CDTF">2026-05-30T12:40:48Z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2F5754A8309A4E34AB9B2D3D074ED562_12</vt:lpwstr>
  </property>
  <property fmtid="{D5CDD505-2E9C-101B-9397-08002B2CF9AE}" pid="4" name="CalculationRule">
    <vt:i4>0</vt:i4>
  </property>
</Properties>
</file>